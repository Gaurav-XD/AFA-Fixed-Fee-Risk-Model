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FA Risk Model\"/>
    </mc:Choice>
  </mc:AlternateContent>
  <bookViews>
    <workbookView xWindow="0" yWindow="0" windowWidth="20868" windowHeight="6588" activeTab="2"/>
  </bookViews>
  <sheets>
    <sheet name="Assumptions" sheetId="1" r:id="rId1"/>
    <sheet name="Base_Calculation" sheetId="2" r:id="rId2"/>
    <sheet name="Risk_Analysi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  <c r="B9" i="3" s="1"/>
  <c r="C9" i="3" s="1"/>
  <c r="D9" i="3" s="1"/>
  <c r="E9" i="3" s="1"/>
  <c r="B3" i="2"/>
  <c r="B2" i="2"/>
  <c r="B4" i="2" l="1"/>
  <c r="B9" i="2" s="1"/>
  <c r="B3" i="3"/>
  <c r="C3" i="3" s="1"/>
  <c r="D3" i="3" s="1"/>
  <c r="E3" i="3" s="1"/>
  <c r="B4" i="3"/>
  <c r="C4" i="3" s="1"/>
  <c r="D4" i="3" s="1"/>
  <c r="E4" i="3" s="1"/>
  <c r="B5" i="3"/>
  <c r="C5" i="3" s="1"/>
  <c r="D5" i="3" s="1"/>
  <c r="E5" i="3" s="1"/>
  <c r="B6" i="3"/>
  <c r="C6" i="3" s="1"/>
  <c r="D6" i="3" s="1"/>
  <c r="E6" i="3" s="1"/>
  <c r="B7" i="3"/>
  <c r="C7" i="3" s="1"/>
  <c r="D7" i="3" s="1"/>
  <c r="E7" i="3" s="1"/>
  <c r="B8" i="3"/>
  <c r="C8" i="3" s="1"/>
  <c r="D8" i="3" s="1"/>
  <c r="E8" i="3" s="1"/>
  <c r="B6" i="2" l="1"/>
  <c r="B7" i="2" s="1"/>
  <c r="B8" i="2" s="1"/>
</calcChain>
</file>

<file path=xl/sharedStrings.xml><?xml version="1.0" encoding="utf-8"?>
<sst xmlns="http://schemas.openxmlformats.org/spreadsheetml/2006/main" count="28" uniqueCount="24">
  <si>
    <t>Project Name</t>
  </si>
  <si>
    <t>Fixed Fee Engagement – Litigation Case</t>
  </si>
  <si>
    <t>Fixed Fee</t>
  </si>
  <si>
    <t>Estimated Hours</t>
  </si>
  <si>
    <t>Cost per Hour</t>
  </si>
  <si>
    <t>Target Margin %</t>
  </si>
  <si>
    <t>Total Cost</t>
  </si>
  <si>
    <t>Expected Profit</t>
  </si>
  <si>
    <t>Expected Margin</t>
  </si>
  <si>
    <t>Break-even Hours</t>
  </si>
  <si>
    <t>Hours</t>
  </si>
  <si>
    <t>Profit</t>
  </si>
  <si>
    <t>Margin</t>
  </si>
  <si>
    <t>Status</t>
  </si>
  <si>
    <t>Partner Cost per Hour</t>
  </si>
  <si>
    <t>Senior Cost per Hour</t>
  </si>
  <si>
    <t>Junior Cost per Hour</t>
  </si>
  <si>
    <t>Partner %</t>
  </si>
  <si>
    <t>Senior %</t>
  </si>
  <si>
    <t>Junior %</t>
  </si>
  <si>
    <t>Weighted Avg Cost per Hour</t>
  </si>
  <si>
    <t>Project Inputs</t>
  </si>
  <si>
    <t>Resource Cost Inputs</t>
  </si>
  <si>
    <t>Resource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</si>
</sst>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2" fillId="4" borderId="1" xfId="0" applyFont="1" applyFill="1" applyBorder="1" applyAlignment="1">
      <alignment vertical="center"/>
    </xf>
    <xf numFmtId="0" fontId="0" fillId="5" borderId="1" xfId="0" applyFill="1" applyBorder="1"/>
    <xf numFmtId="9" fontId="0" fillId="5" borderId="1" xfId="0" applyNumberFormat="1" applyFill="1" applyBorder="1"/>
    <xf numFmtId="0" fontId="3" fillId="0" borderId="1" xfId="0" applyFont="1" applyBorder="1"/>
    <xf numFmtId="0" fontId="3" fillId="3" borderId="1" xfId="0" applyFont="1" applyFill="1" applyBorder="1"/>
    <xf numFmtId="0" fontId="4" fillId="7" borderId="1" xfId="0" applyFont="1" applyFill="1" applyBorder="1"/>
    <xf numFmtId="0" fontId="5" fillId="8" borderId="1" xfId="0" applyFont="1" applyFill="1" applyBorder="1"/>
    <xf numFmtId="0" fontId="5" fillId="6" borderId="1" xfId="0" applyFont="1" applyFill="1" applyBorder="1"/>
    <xf numFmtId="3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Profit Sensitivity to Hours (Fixed Fee Engagement)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58456169762472"/>
          <c:y val="0.17273313972249113"/>
          <c:w val="0.84716621634073774"/>
          <c:h val="0.67338527526466063"/>
        </c:manualLayout>
      </c:layout>
      <c:lineChart>
        <c:grouping val="standard"/>
        <c:varyColors val="0"/>
        <c:ser>
          <c:idx val="1"/>
          <c:order val="0"/>
          <c:tx>
            <c:strRef>
              <c:f>Risk_Analysis!$C$2</c:f>
              <c:strCache>
                <c:ptCount val="1"/>
                <c:pt idx="0">
                  <c:v>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Risk_Analysis!$A:$A</c15:sqref>
                  </c15:fullRef>
                </c:ext>
              </c:extLst>
              <c:f>(Risk_Analysis!$A$1,Risk_Analysis!$A$3:$A$1048576)</c:f>
              <c:strCache>
                <c:ptCount val="8"/>
                <c:pt idx="1">
                  <c:v>180</c:v>
                </c:pt>
                <c:pt idx="2">
                  <c:v>190</c:v>
                </c:pt>
                <c:pt idx="3">
                  <c:v>200</c:v>
                </c:pt>
                <c:pt idx="4">
                  <c:v>220</c:v>
                </c:pt>
                <c:pt idx="5">
                  <c:v>240</c:v>
                </c:pt>
                <c:pt idx="6">
                  <c:v>260</c:v>
                </c:pt>
                <c:pt idx="7">
                  <c:v>280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Risk_Analysis!$C$3:$C$9</c15:sqref>
                  </c15:fullRef>
                </c:ext>
              </c:extLst>
              <c:f>(Risk_Analysis!$C$3,Risk_Analysis!$C$5:$C$9)</c:f>
              <c:numCache>
                <c:formatCode>General</c:formatCode>
                <c:ptCount val="6"/>
                <c:pt idx="0">
                  <c:v>402000</c:v>
                </c:pt>
                <c:pt idx="1">
                  <c:v>280000</c:v>
                </c:pt>
                <c:pt idx="2">
                  <c:v>158000</c:v>
                </c:pt>
                <c:pt idx="3">
                  <c:v>36000</c:v>
                </c:pt>
                <c:pt idx="4">
                  <c:v>-86000</c:v>
                </c:pt>
                <c:pt idx="5">
                  <c:v>-208000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2A-4FD6-AD7C-90F8098C72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97237024"/>
        <c:axId val="1797235360"/>
      </c:lineChart>
      <c:catAx>
        <c:axId val="1797237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baseline="0"/>
                  <a:t>Hours Worked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235360"/>
        <c:crosses val="autoZero"/>
        <c:auto val="1"/>
        <c:lblAlgn val="ctr"/>
        <c:lblOffset val="100"/>
        <c:noMultiLvlLbl val="0"/>
      </c:catAx>
      <c:valAx>
        <c:axId val="17972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Profit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23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0</xdr:row>
      <xdr:rowOff>125730</xdr:rowOff>
    </xdr:from>
    <xdr:to>
      <xdr:col>17</xdr:col>
      <xdr:colOff>38100</xdr:colOff>
      <xdr:row>21</xdr:row>
      <xdr:rowOff>83820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21" sqref="B21"/>
    </sheetView>
  </sheetViews>
  <sheetFormatPr defaultRowHeight="14.4" x14ac:dyDescent="0.3"/>
  <cols>
    <col min="1" max="1" width="31.5546875" bestFit="1" customWidth="1"/>
    <col min="2" max="2" width="43.6640625" bestFit="1" customWidth="1"/>
  </cols>
  <sheetData>
    <row r="1" spans="1:2" ht="18" x14ac:dyDescent="0.35">
      <c r="A1" s="3" t="s">
        <v>0</v>
      </c>
      <c r="B1" s="3" t="s">
        <v>1</v>
      </c>
    </row>
    <row r="2" spans="1:2" ht="18" x14ac:dyDescent="0.3">
      <c r="A2" s="4" t="s">
        <v>21</v>
      </c>
      <c r="B2" s="2"/>
    </row>
    <row r="3" spans="1:2" x14ac:dyDescent="0.3">
      <c r="A3" s="5" t="s">
        <v>2</v>
      </c>
      <c r="B3" s="12">
        <v>1500000</v>
      </c>
    </row>
    <row r="4" spans="1:2" x14ac:dyDescent="0.3">
      <c r="A4" s="5" t="s">
        <v>3</v>
      </c>
      <c r="B4" s="5">
        <v>180</v>
      </c>
    </row>
    <row r="5" spans="1:2" x14ac:dyDescent="0.3">
      <c r="A5" s="5" t="s">
        <v>4</v>
      </c>
      <c r="B5" s="5">
        <v>4000</v>
      </c>
    </row>
    <row r="6" spans="1:2" x14ac:dyDescent="0.3">
      <c r="A6" s="5" t="s">
        <v>5</v>
      </c>
      <c r="B6" s="6">
        <v>0.25</v>
      </c>
    </row>
    <row r="7" spans="1:2" x14ac:dyDescent="0.3">
      <c r="A7" s="2"/>
      <c r="B7" s="2"/>
    </row>
    <row r="8" spans="1:2" ht="18" x14ac:dyDescent="0.3">
      <c r="A8" s="4" t="s">
        <v>22</v>
      </c>
      <c r="B8" s="2"/>
    </row>
    <row r="9" spans="1:2" x14ac:dyDescent="0.3">
      <c r="A9" s="5" t="s">
        <v>14</v>
      </c>
      <c r="B9" s="5">
        <v>8000</v>
      </c>
    </row>
    <row r="10" spans="1:2" x14ac:dyDescent="0.3">
      <c r="A10" s="5" t="s">
        <v>15</v>
      </c>
      <c r="B10" s="5">
        <v>5000</v>
      </c>
    </row>
    <row r="11" spans="1:2" x14ac:dyDescent="0.3">
      <c r="A11" s="5" t="s">
        <v>16</v>
      </c>
      <c r="B11" s="5">
        <v>3000</v>
      </c>
    </row>
    <row r="12" spans="1:2" ht="18" x14ac:dyDescent="0.3">
      <c r="A12" s="4" t="s">
        <v>23</v>
      </c>
      <c r="B12" s="2"/>
    </row>
    <row r="13" spans="1:2" x14ac:dyDescent="0.3">
      <c r="A13" s="5" t="s">
        <v>17</v>
      </c>
      <c r="B13" s="6">
        <v>0.5</v>
      </c>
    </row>
    <row r="14" spans="1:2" x14ac:dyDescent="0.3">
      <c r="A14" s="5" t="s">
        <v>18</v>
      </c>
      <c r="B14" s="6">
        <v>0.3</v>
      </c>
    </row>
    <row r="15" spans="1:2" x14ac:dyDescent="0.3">
      <c r="A15" s="5" t="s">
        <v>19</v>
      </c>
      <c r="B15" s="6">
        <v>0.2</v>
      </c>
    </row>
    <row r="16" spans="1:2" x14ac:dyDescent="0.3">
      <c r="A16" s="2"/>
      <c r="B16" s="2"/>
    </row>
    <row r="17" spans="1:2" ht="18" x14ac:dyDescent="0.3">
      <c r="A17" s="4" t="s">
        <v>20</v>
      </c>
      <c r="B17" s="5">
        <f>(B9*B13)+(B10*B14)+(B11*B15)</f>
        <v>6100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9"/>
  <sheetViews>
    <sheetView workbookViewId="0">
      <selection activeCell="B21" sqref="B21"/>
    </sheetView>
  </sheetViews>
  <sheetFormatPr defaultRowHeight="14.4" x14ac:dyDescent="0.3"/>
  <cols>
    <col min="1" max="1" width="19.44140625" bestFit="1" customWidth="1"/>
    <col min="2" max="2" width="18.88671875" customWidth="1"/>
  </cols>
  <sheetData>
    <row r="2" spans="1:2" ht="18" x14ac:dyDescent="0.35">
      <c r="A2" s="3" t="s">
        <v>2</v>
      </c>
      <c r="B2" s="8">
        <f>Assumptions!B3</f>
        <v>1500000</v>
      </c>
    </row>
    <row r="3" spans="1:2" ht="18" x14ac:dyDescent="0.35">
      <c r="A3" s="3" t="s">
        <v>3</v>
      </c>
      <c r="B3" s="8">
        <f>Assumptions!B4</f>
        <v>180</v>
      </c>
    </row>
    <row r="4" spans="1:2" ht="18" x14ac:dyDescent="0.35">
      <c r="A4" s="3" t="s">
        <v>4</v>
      </c>
      <c r="B4" s="8">
        <f>Assumptions!B17</f>
        <v>6100</v>
      </c>
    </row>
    <row r="5" spans="1:2" ht="18" x14ac:dyDescent="0.35">
      <c r="A5" s="1"/>
      <c r="B5" s="7"/>
    </row>
    <row r="6" spans="1:2" ht="18" x14ac:dyDescent="0.35">
      <c r="A6" s="3" t="s">
        <v>6</v>
      </c>
      <c r="B6" s="8">
        <f>B3 * B4</f>
        <v>1098000</v>
      </c>
    </row>
    <row r="7" spans="1:2" ht="18" x14ac:dyDescent="0.35">
      <c r="A7" s="3" t="s">
        <v>7</v>
      </c>
      <c r="B7" s="8">
        <f>B2 - B6</f>
        <v>402000</v>
      </c>
    </row>
    <row r="8" spans="1:2" ht="18" x14ac:dyDescent="0.35">
      <c r="A8" s="3" t="s">
        <v>8</v>
      </c>
      <c r="B8" s="8">
        <f>B7 / B2</f>
        <v>0.26800000000000002</v>
      </c>
    </row>
    <row r="9" spans="1:2" ht="18" x14ac:dyDescent="0.35">
      <c r="A9" s="3" t="s">
        <v>9</v>
      </c>
      <c r="B9" s="8">
        <f>B2 / B4</f>
        <v>245.90163934426229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"/>
  <sheetViews>
    <sheetView tabSelected="1" zoomScale="110" zoomScaleNormal="110" workbookViewId="0">
      <selection activeCell="D14" sqref="D14"/>
    </sheetView>
  </sheetViews>
  <sheetFormatPr defaultRowHeight="14.4" x14ac:dyDescent="0.3"/>
  <cols>
    <col min="1" max="1" width="8.6640625" bestFit="1" customWidth="1"/>
    <col min="2" max="2" width="13.77734375" bestFit="1" customWidth="1"/>
    <col min="3" max="3" width="11" bestFit="1" customWidth="1"/>
    <col min="4" max="4" width="13.33203125" bestFit="1" customWidth="1"/>
    <col min="5" max="5" width="13.44140625" bestFit="1" customWidth="1"/>
  </cols>
  <sheetData>
    <row r="2" spans="1:5" ht="21" x14ac:dyDescent="0.4">
      <c r="A2" s="9" t="s">
        <v>10</v>
      </c>
      <c r="B2" s="9" t="s">
        <v>6</v>
      </c>
      <c r="C2" s="9" t="s">
        <v>11</v>
      </c>
      <c r="D2" s="9" t="s">
        <v>12</v>
      </c>
      <c r="E2" s="9" t="s">
        <v>13</v>
      </c>
    </row>
    <row r="3" spans="1:5" ht="15.6" x14ac:dyDescent="0.3">
      <c r="A3" s="10">
        <v>180</v>
      </c>
      <c r="B3" s="10">
        <f xml:space="preserve"> A3 * Assumptions!B17</f>
        <v>1098000</v>
      </c>
      <c r="C3" s="10">
        <f xml:space="preserve"> Assumptions!B3 - B3</f>
        <v>402000</v>
      </c>
      <c r="D3" s="10">
        <f xml:space="preserve"> C3 / Assumptions!B3</f>
        <v>0.26800000000000002</v>
      </c>
      <c r="E3" s="11" t="str">
        <f>IF(D3&gt;=Assumptions!B6,"Above Target",
   IF(C3&gt;0,"Below Target","Loss"))</f>
        <v>Above Target</v>
      </c>
    </row>
    <row r="4" spans="1:5" ht="15.6" x14ac:dyDescent="0.3">
      <c r="A4" s="10">
        <v>190</v>
      </c>
      <c r="B4" s="10">
        <f xml:space="preserve"> A4 * Assumptions!B17</f>
        <v>1159000</v>
      </c>
      <c r="C4" s="10">
        <f xml:space="preserve"> Assumptions!B3 - B4</f>
        <v>341000</v>
      </c>
      <c r="D4" s="10">
        <f xml:space="preserve"> C4 / Assumptions!B3</f>
        <v>0.22733333333333333</v>
      </c>
      <c r="E4" s="11" t="str">
        <f>IF(D4&gt;=Assumptions!B6,"Above Target",
   IF(C4&gt;0,"Below Target","Loss"))</f>
        <v>Below Target</v>
      </c>
    </row>
    <row r="5" spans="1:5" ht="15.6" x14ac:dyDescent="0.3">
      <c r="A5" s="10">
        <v>200</v>
      </c>
      <c r="B5" s="10">
        <f xml:space="preserve"> A5 * Assumptions!B17</f>
        <v>1220000</v>
      </c>
      <c r="C5" s="10">
        <f xml:space="preserve"> Assumptions!B3 - B5</f>
        <v>280000</v>
      </c>
      <c r="D5" s="10">
        <f xml:space="preserve"> C5 / Assumptions!B3</f>
        <v>0.18666666666666668</v>
      </c>
      <c r="E5" s="11" t="str">
        <f>IF(D5&gt;=Assumptions!B6,"Above Target",
   IF(C5&gt;0,"Below Target","Loss"))</f>
        <v>Below Target</v>
      </c>
    </row>
    <row r="6" spans="1:5" ht="15.6" x14ac:dyDescent="0.3">
      <c r="A6" s="10">
        <v>220</v>
      </c>
      <c r="B6" s="10">
        <f xml:space="preserve"> A6 * Assumptions!B17</f>
        <v>1342000</v>
      </c>
      <c r="C6" s="10">
        <f xml:space="preserve"> Assumptions!B3 - B6</f>
        <v>158000</v>
      </c>
      <c r="D6" s="10">
        <f xml:space="preserve"> C6 / Assumptions!B3</f>
        <v>0.10533333333333333</v>
      </c>
      <c r="E6" s="11" t="str">
        <f>IF(D6&gt;=Assumptions!B6,"Above Target",
   IF(C6&gt;0,"Below Target","Loss"))</f>
        <v>Below Target</v>
      </c>
    </row>
    <row r="7" spans="1:5" ht="15.6" x14ac:dyDescent="0.3">
      <c r="A7" s="10">
        <v>240</v>
      </c>
      <c r="B7" s="10">
        <f xml:space="preserve"> A7 * Assumptions!B17</f>
        <v>1464000</v>
      </c>
      <c r="C7" s="10">
        <f xml:space="preserve"> Assumptions!B3 - B7</f>
        <v>36000</v>
      </c>
      <c r="D7" s="10">
        <f xml:space="preserve"> C7 / Assumptions!B3</f>
        <v>2.4E-2</v>
      </c>
      <c r="E7" s="11" t="str">
        <f>IF(D7&gt;=Assumptions!B6,"Above Target",
   IF(C7&gt;0,"Below Target","Loss"))</f>
        <v>Below Target</v>
      </c>
    </row>
    <row r="8" spans="1:5" ht="15.6" x14ac:dyDescent="0.3">
      <c r="A8" s="10">
        <v>260</v>
      </c>
      <c r="B8" s="10">
        <f xml:space="preserve"> A8 * Assumptions!B17</f>
        <v>1586000</v>
      </c>
      <c r="C8" s="10">
        <f xml:space="preserve"> Assumptions!B3 - B8</f>
        <v>-86000</v>
      </c>
      <c r="D8" s="10">
        <f xml:space="preserve"> C8 / Assumptions!B3</f>
        <v>-5.7333333333333333E-2</v>
      </c>
      <c r="E8" s="11" t="str">
        <f>IF(D8&gt;=Assumptions!B6,"Above Target",
   IF(C8&gt;0,"Below Target","Loss"))</f>
        <v>Loss</v>
      </c>
    </row>
    <row r="9" spans="1:5" ht="15.6" x14ac:dyDescent="0.3">
      <c r="A9" s="10">
        <v>280</v>
      </c>
      <c r="B9" s="10">
        <f xml:space="preserve"> A9 * Assumptions!B17</f>
        <v>1708000</v>
      </c>
      <c r="C9" s="10">
        <f xml:space="preserve"> Assumptions!B3 - B9</f>
        <v>-208000</v>
      </c>
      <c r="D9" s="10">
        <f xml:space="preserve"> C9 / Assumptions!B3</f>
        <v>-0.13866666666666666</v>
      </c>
      <c r="E9" s="11" t="str">
        <f>IF(D9&gt;=Assumptions!B6,"Above Target",
   IF(C9&gt;0,"Below Target","Loss"))</f>
        <v>Loss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Base_Calculation</vt:lpstr>
      <vt:lpstr>Risk_Analysis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BUNNY</dc:creator>
  <cp:lastModifiedBy>BUNNY</cp:lastModifiedBy>
  <dcterms:created xsi:type="dcterms:W3CDTF">2026-02-22T09:30:42Z</dcterms:created>
  <dcterms:modified xsi:type="dcterms:W3CDTF">2026-02-22T15:44:45Z</dcterms:modified>
</cp:coreProperties>
</file>